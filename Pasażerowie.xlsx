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70b0ecd4cea651/M365_Szkolenie/Materiały/"/>
    </mc:Choice>
  </mc:AlternateContent>
  <xr:revisionPtr revIDLastSave="11" documentId="8_{DCDD79D9-B2C5-4E1B-B737-0AAB5B0198B1}" xr6:coauthVersionLast="47" xr6:coauthVersionMax="47" xr10:uidLastSave="{B438B76A-ADBE-4D20-B63A-D3EDE624E504}"/>
  <bookViews>
    <workbookView xWindow="-108" yWindow="-108" windowWidth="23256" windowHeight="12456" xr2:uid="{04E3D605-8A83-4329-9089-80113C01A657}"/>
  </bookViews>
  <sheets>
    <sheet name="Passenger Numbers" sheetId="1" r:id="rId1"/>
  </sheets>
  <externalReferences>
    <externalReference r:id="rId2"/>
  </externalReferences>
  <definedNames>
    <definedName name="_xlnm._FilterDatabase" localSheetId="0" hidden="1">'Passenger Numbers'!$A$1:$L$1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 s="1"/>
  <c r="M4" i="1" s="1"/>
  <c r="C5" i="1"/>
  <c r="D5" i="1"/>
  <c r="E5" i="1"/>
  <c r="F5" i="1" s="1"/>
  <c r="C6" i="1"/>
  <c r="N6" i="1" s="1"/>
  <c r="D6" i="1"/>
  <c r="E6" i="1"/>
  <c r="F6" i="1"/>
  <c r="G6" i="1"/>
  <c r="H6" i="1" s="1"/>
  <c r="I6" i="1" s="1"/>
  <c r="J6" i="1" s="1"/>
  <c r="K6" i="1" s="1"/>
  <c r="L6" i="1" s="1"/>
  <c r="M6" i="1" s="1"/>
  <c r="C7" i="1"/>
  <c r="D7" i="1"/>
  <c r="E7" i="1"/>
  <c r="F7" i="1"/>
  <c r="G7" i="1"/>
  <c r="H7" i="1"/>
  <c r="I7" i="1"/>
  <c r="J7" i="1"/>
  <c r="K7" i="1"/>
  <c r="L7" i="1"/>
  <c r="M7" i="1"/>
  <c r="N7" i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C9" i="1"/>
  <c r="N9" i="1" s="1"/>
  <c r="D9" i="1"/>
  <c r="E9" i="1"/>
  <c r="G9" i="1"/>
  <c r="H9" i="1"/>
  <c r="I9" i="1"/>
  <c r="K9" i="1"/>
  <c r="L9" i="1"/>
  <c r="M9" i="1"/>
  <c r="C10" i="1"/>
  <c r="D10" i="1"/>
  <c r="E10" i="1"/>
  <c r="F10" i="1"/>
  <c r="G10" i="1"/>
  <c r="H10" i="1" s="1"/>
  <c r="C11" i="1"/>
  <c r="D11" i="1"/>
  <c r="E11" i="1"/>
  <c r="F11" i="1"/>
  <c r="G11" i="1"/>
  <c r="H11" i="1"/>
  <c r="I11" i="1"/>
  <c r="J11" i="1" s="1"/>
  <c r="K11" i="1" s="1"/>
  <c r="L11" i="1" s="1"/>
  <c r="M11" i="1" s="1"/>
  <c r="C12" i="1"/>
  <c r="D12" i="1" s="1"/>
  <c r="G13" i="1"/>
  <c r="H13" i="1"/>
  <c r="I13" i="1"/>
  <c r="J13" i="1" s="1"/>
  <c r="K13" i="1" s="1"/>
  <c r="L13" i="1" s="1"/>
  <c r="M13" i="1" s="1"/>
  <c r="C14" i="1"/>
  <c r="D14" i="1" s="1"/>
  <c r="C15" i="1"/>
  <c r="D15" i="1"/>
  <c r="E15" i="1"/>
  <c r="F15" i="1" s="1"/>
  <c r="G15" i="1" s="1"/>
  <c r="H15" i="1" s="1"/>
  <c r="I15" i="1" s="1"/>
  <c r="J15" i="1" s="1"/>
  <c r="K15" i="1" s="1"/>
  <c r="L15" i="1" s="1"/>
  <c r="M15" i="1" s="1"/>
  <c r="E17" i="1"/>
  <c r="I18" i="1"/>
  <c r="E14" i="1" l="1"/>
  <c r="F14" i="1" s="1"/>
  <c r="G14" i="1" s="1"/>
  <c r="H14" i="1" s="1"/>
  <c r="I14" i="1" s="1"/>
  <c r="J14" i="1" s="1"/>
  <c r="K14" i="1" s="1"/>
  <c r="L14" i="1" s="1"/>
  <c r="M14" i="1" s="1"/>
  <c r="N13" i="1"/>
  <c r="E12" i="1"/>
  <c r="F12" i="1" s="1"/>
  <c r="G12" i="1" s="1"/>
  <c r="H12" i="1" s="1"/>
  <c r="I12" i="1" s="1"/>
  <c r="J12" i="1" s="1"/>
  <c r="K12" i="1" s="1"/>
  <c r="L12" i="1" s="1"/>
  <c r="M12" i="1" s="1"/>
  <c r="G5" i="1"/>
  <c r="H5" i="1" s="1"/>
  <c r="I5" i="1" s="1"/>
  <c r="J5" i="1" s="1"/>
  <c r="K5" i="1" s="1"/>
  <c r="L5" i="1" s="1"/>
  <c r="M5" i="1" s="1"/>
  <c r="N11" i="1"/>
  <c r="I10" i="1"/>
  <c r="J10" i="1" s="1"/>
  <c r="K10" i="1" s="1"/>
  <c r="L10" i="1" s="1"/>
  <c r="M10" i="1" s="1"/>
  <c r="E3" i="1"/>
  <c r="F3" i="1" s="1"/>
  <c r="G3" i="1" s="1"/>
  <c r="H3" i="1" s="1"/>
  <c r="N3" i="1"/>
  <c r="N4" i="1"/>
  <c r="N15" i="1"/>
  <c r="N8" i="1"/>
  <c r="N5" i="1" l="1"/>
  <c r="N12" i="1"/>
  <c r="N10" i="1"/>
  <c r="N16" i="1" s="1"/>
  <c r="N14" i="1"/>
</calcChain>
</file>

<file path=xl/sharedStrings.xml><?xml version="1.0" encoding="utf-8"?>
<sst xmlns="http://schemas.openxmlformats.org/spreadsheetml/2006/main" count="30" uniqueCount="29">
  <si>
    <t>Total</t>
  </si>
  <si>
    <t>Arricife</t>
  </si>
  <si>
    <t>Belfast</t>
  </si>
  <si>
    <t>Catania</t>
  </si>
  <si>
    <t>City of London</t>
  </si>
  <si>
    <t>Cork</t>
  </si>
  <si>
    <t xml:space="preserve">Dublin </t>
  </si>
  <si>
    <t>Gatwick</t>
  </si>
  <si>
    <t>Heathrow</t>
  </si>
  <si>
    <t>Luton</t>
  </si>
  <si>
    <t>Milan</t>
  </si>
  <si>
    <t>Padua</t>
  </si>
  <si>
    <t>Rome</t>
  </si>
  <si>
    <t>Tenerife</t>
  </si>
  <si>
    <t>Date Of Arrival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</si>
  <si>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</si>
  <si>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</si>
  <si>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</si>
  <si>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</si>
  <si>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</si>
  <si>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</si>
  <si>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</si>
  <si>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</si>
  <si>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</si>
  <si>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</si>
  <si>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</si>
  <si>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</si>
  <si>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Airport/Month</t>
  </si>
  <si>
    <t>Passenger Numbers by Airport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</si>
</sst>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809]dd\ mmmm\ yyyy;@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1" fillId="2" borderId="2" xfId="0" applyNumberFormat="1" applyFont="1" applyFill="1" applyBorder="1"/>
    <xf numFmtId="0" fontId="2" fillId="3" borderId="3" xfId="0" applyFont="1" applyFill="1" applyBorder="1"/>
    <xf numFmtId="164" fontId="0" fillId="0" borderId="0" xfId="0" applyNumberFormat="1"/>
    <xf numFmtId="3" fontId="1" fillId="2" borderId="4" xfId="0" applyNumberFormat="1" applyFont="1" applyFill="1" applyBorder="1"/>
    <xf numFmtId="0" fontId="2" fillId="3" borderId="5" xfId="0" applyFont="1" applyFill="1" applyBorder="1"/>
    <xf numFmtId="3" fontId="1" fillId="0" borderId="4" xfId="0" applyNumberFormat="1" applyFont="1" applyBorder="1"/>
    <xf numFmtId="0" fontId="2" fillId="3" borderId="6" xfId="0" applyFont="1" applyFill="1" applyBorder="1"/>
    <xf numFmtId="0" fontId="2" fillId="4" borderId="7" xfId="0" applyFont="1" applyFill="1" applyBorder="1"/>
    <xf numFmtId="0" fontId="3" fillId="0" borderId="8" xfId="0" applyFont="1" applyBorder="1" applyAlignment="1">
      <alignment horizontal="center"/>
    </xf>
  </cellXfs>
  <cellStyles count="1">
    <cellStyle name="Normalny" xfId="0" builtinId="0"/>
  </cellStyles>
  <dxfs count="21">
    <dxf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'Passenger Numbers'!$B$2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Numbers'!$B$3:$B$15</c:f>
              <c:numCache>
                <c:formatCode>#,##0</c:formatCode>
                <c:ptCount val="13"/>
                <c:pt idx="0">
                  <c:v>7844</c:v>
                </c:pt>
                <c:pt idx="1">
                  <c:v>2436</c:v>
                </c:pt>
                <c:pt idx="2">
                  <c:v>321</c:v>
                </c:pt>
                <c:pt idx="3">
                  <c:v>2565</c:v>
                </c:pt>
                <c:pt idx="4">
                  <c:v>5434</c:v>
                </c:pt>
                <c:pt idx="5">
                  <c:v>9832</c:v>
                </c:pt>
                <c:pt idx="6">
                  <c:v>4568</c:v>
                </c:pt>
                <c:pt idx="7">
                  <c:v>1345</c:v>
                </c:pt>
                <c:pt idx="8">
                  <c:v>345</c:v>
                </c:pt>
                <c:pt idx="9">
                  <c:v>1435</c:v>
                </c:pt>
                <c:pt idx="10">
                  <c:v>789</c:v>
                </c:pt>
                <c:pt idx="11">
                  <c:v>577</c:v>
                </c:pt>
                <c:pt idx="12">
                  <c:v>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0-440F-B00E-D0F16D4C1021}"/>
            </c:ext>
          </c:extLst>
        </c:ser>
        <c:ser>
          <c:idx val="1"/>
          <c:order val="1"/>
          <c:tx>
            <c:strRef>
              <c:f>'Passenger Numbers'!$C$2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Numbers'!$C$3:$C$15</c:f>
              <c:numCache>
                <c:formatCode>#,##0</c:formatCode>
                <c:ptCount val="13"/>
                <c:pt idx="0">
                  <c:v>8628.4000000000015</c:v>
                </c:pt>
                <c:pt idx="1">
                  <c:v>2679.6000000000004</c:v>
                </c:pt>
                <c:pt idx="2">
                  <c:v>353.1</c:v>
                </c:pt>
                <c:pt idx="3">
                  <c:v>2821.5000000000005</c:v>
                </c:pt>
                <c:pt idx="4">
                  <c:v>5977.4000000000005</c:v>
                </c:pt>
                <c:pt idx="5">
                  <c:v>10815.2</c:v>
                </c:pt>
                <c:pt idx="6">
                  <c:v>5024.8</c:v>
                </c:pt>
                <c:pt idx="7">
                  <c:v>1479.5000000000002</c:v>
                </c:pt>
                <c:pt idx="8">
                  <c:v>379.50000000000006</c:v>
                </c:pt>
                <c:pt idx="9">
                  <c:v>1578.5000000000002</c:v>
                </c:pt>
                <c:pt idx="10">
                  <c:v>800</c:v>
                </c:pt>
                <c:pt idx="11">
                  <c:v>634.70000000000005</c:v>
                </c:pt>
                <c:pt idx="12">
                  <c:v>7406.3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0-440F-B00E-D0F16D4C1021}"/>
            </c:ext>
          </c:extLst>
        </c:ser>
        <c:ser>
          <c:idx val="2"/>
          <c:order val="2"/>
          <c:tx>
            <c:strRef>
              <c:f>'Passenger Numbers'!$D$2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Numbers'!$D$3:$D$15</c:f>
              <c:numCache>
                <c:formatCode>#,##0</c:formatCode>
                <c:ptCount val="13"/>
                <c:pt idx="0">
                  <c:v>9491.2400000000016</c:v>
                </c:pt>
                <c:pt idx="1">
                  <c:v>2947.5600000000009</c:v>
                </c:pt>
                <c:pt idx="2">
                  <c:v>388.41000000000008</c:v>
                </c:pt>
                <c:pt idx="3">
                  <c:v>3103.6500000000005</c:v>
                </c:pt>
                <c:pt idx="4">
                  <c:v>6575.1400000000012</c:v>
                </c:pt>
                <c:pt idx="5">
                  <c:v>11896.720000000001</c:v>
                </c:pt>
                <c:pt idx="6">
                  <c:v>5527.2800000000007</c:v>
                </c:pt>
                <c:pt idx="7">
                  <c:v>1627.4500000000003</c:v>
                </c:pt>
                <c:pt idx="8">
                  <c:v>417.4500000000001</c:v>
                </c:pt>
                <c:pt idx="9">
                  <c:v>1736.3500000000004</c:v>
                </c:pt>
                <c:pt idx="10">
                  <c:v>5678</c:v>
                </c:pt>
                <c:pt idx="11">
                  <c:v>698.17000000000007</c:v>
                </c:pt>
                <c:pt idx="12">
                  <c:v>8146.9300000000012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0-440F-B00E-D0F16D4C1021}"/>
            </c:ext>
          </c:extLst>
        </c:ser>
        <c:ser>
          <c:idx val="3"/>
          <c:order val="3"/>
          <c:tx>
            <c:strRef>
              <c:f>'Passenger Numbers'!$E$2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Numbers'!$E$3:$E$15</c:f>
              <c:numCache>
                <c:formatCode>#,##0</c:formatCode>
                <c:ptCount val="13"/>
                <c:pt idx="0">
                  <c:v>10440.364000000003</c:v>
                </c:pt>
                <c:pt idx="1">
                  <c:v>3242.3160000000012</c:v>
                </c:pt>
                <c:pt idx="2">
                  <c:v>427.25100000000015</c:v>
                </c:pt>
                <c:pt idx="3">
                  <c:v>3414.0150000000008</c:v>
                </c:pt>
                <c:pt idx="4">
                  <c:v>7232.6540000000023</c:v>
                </c:pt>
                <c:pt idx="5">
                  <c:v>13086.392000000002</c:v>
                </c:pt>
                <c:pt idx="6">
                  <c:v>6080.0080000000016</c:v>
                </c:pt>
                <c:pt idx="7">
                  <c:v>1790.1950000000004</c:v>
                </c:pt>
                <c:pt idx="8">
                  <c:v>459.19500000000016</c:v>
                </c:pt>
                <c:pt idx="9">
                  <c:v>1909.9850000000006</c:v>
                </c:pt>
                <c:pt idx="10">
                  <c:v>890</c:v>
                </c:pt>
                <c:pt idx="11">
                  <c:v>767.98700000000019</c:v>
                </c:pt>
                <c:pt idx="12">
                  <c:v>8961.6230000000014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20-440F-B00E-D0F16D4C1021}"/>
            </c:ext>
          </c:extLst>
        </c:ser>
        <c:ser>
          <c:idx val="4"/>
          <c:order val="4"/>
          <c:tx>
            <c:strRef>
              <c:f>'Passenger Numbers'!$F$2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Numbers'!$F$3:$F$15</c:f>
              <c:numCache>
                <c:formatCode>#,##0</c:formatCode>
                <c:ptCount val="13"/>
                <c:pt idx="0">
                  <c:v>11484.400400000004</c:v>
                </c:pt>
                <c:pt idx="1">
                  <c:v>3566.5476000000017</c:v>
                </c:pt>
                <c:pt idx="2">
                  <c:v>469.9761000000002</c:v>
                </c:pt>
                <c:pt idx="3">
                  <c:v>3755.4165000000012</c:v>
                </c:pt>
                <c:pt idx="4">
                  <c:v>7955.9194000000034</c:v>
                </c:pt>
                <c:pt idx="5">
                  <c:v>14395.031200000003</c:v>
                </c:pt>
                <c:pt idx="6">
                  <c:v>45677</c:v>
                </c:pt>
                <c:pt idx="7">
                  <c:v>1969.2145000000005</c:v>
                </c:pt>
                <c:pt idx="8">
                  <c:v>505.11450000000025</c:v>
                </c:pt>
                <c:pt idx="9">
                  <c:v>2100.9835000000007</c:v>
                </c:pt>
                <c:pt idx="10">
                  <c:v>1700</c:v>
                </c:pt>
                <c:pt idx="11">
                  <c:v>844.78570000000025</c:v>
                </c:pt>
                <c:pt idx="12">
                  <c:v>9857.7853000000032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20-440F-B00E-D0F16D4C1021}"/>
            </c:ext>
          </c:extLst>
        </c:ser>
        <c:ser>
          <c:idx val="5"/>
          <c:order val="5"/>
          <c:tx>
            <c:strRef>
              <c:f>'Passenger Numbers'!$G$2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Numbers'!$G$3:$G$15</c:f>
              <c:numCache>
                <c:formatCode>#,##0</c:formatCode>
                <c:ptCount val="13"/>
                <c:pt idx="0">
                  <c:v>12632.840440000005</c:v>
                </c:pt>
                <c:pt idx="1">
                  <c:v>3923.202360000002</c:v>
                </c:pt>
                <c:pt idx="2">
                  <c:v>516.97371000000021</c:v>
                </c:pt>
                <c:pt idx="3">
                  <c:v>4130.9581500000013</c:v>
                </c:pt>
                <c:pt idx="4">
                  <c:v>8751.5113400000046</c:v>
                </c:pt>
                <c:pt idx="5">
                  <c:v>15834.534320000004</c:v>
                </c:pt>
                <c:pt idx="6">
                  <c:v>50244.700000000004</c:v>
                </c:pt>
                <c:pt idx="7">
                  <c:v>2166.1359500000008</c:v>
                </c:pt>
                <c:pt idx="8">
                  <c:v>555.62595000000033</c:v>
                </c:pt>
                <c:pt idx="9">
                  <c:v>2311.0818500000009</c:v>
                </c:pt>
                <c:pt idx="10">
                  <c:v>1870.0000000000002</c:v>
                </c:pt>
                <c:pt idx="11">
                  <c:v>929.26427000000035</c:v>
                </c:pt>
                <c:pt idx="12">
                  <c:v>10843.563830000005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20-440F-B00E-D0F16D4C1021}"/>
            </c:ext>
          </c:extLst>
        </c:ser>
        <c:ser>
          <c:idx val="6"/>
          <c:order val="6"/>
          <c:tx>
            <c:strRef>
              <c:f>'Passenger Numbers'!$H$2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Numbers'!$H$3:$H$15</c:f>
              <c:numCache>
                <c:formatCode>#,##0</c:formatCode>
                <c:ptCount val="13"/>
                <c:pt idx="0">
                  <c:v>13896.124484000007</c:v>
                </c:pt>
                <c:pt idx="1">
                  <c:v>4315.5225960000025</c:v>
                </c:pt>
                <c:pt idx="2">
                  <c:v>568.6710810000003</c:v>
                </c:pt>
                <c:pt idx="3">
                  <c:v>4544.0539650000019</c:v>
                </c:pt>
                <c:pt idx="4">
                  <c:v>9626.6624740000061</c:v>
                </c:pt>
                <c:pt idx="5">
                  <c:v>17417.987752000005</c:v>
                </c:pt>
                <c:pt idx="6">
                  <c:v>55269.170000000013</c:v>
                </c:pt>
                <c:pt idx="7">
                  <c:v>2382.749545000001</c:v>
                </c:pt>
                <c:pt idx="8">
                  <c:v>611.18854500000043</c:v>
                </c:pt>
                <c:pt idx="9">
                  <c:v>2542.1900350000014</c:v>
                </c:pt>
                <c:pt idx="10">
                  <c:v>2057.0000000000005</c:v>
                </c:pt>
                <c:pt idx="11">
                  <c:v>1022.1906970000005</c:v>
                </c:pt>
                <c:pt idx="12">
                  <c:v>11927.920213000007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20-440F-B00E-D0F16D4C1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201535"/>
        <c:axId val="96398943"/>
      </c:barChart>
      <c:lineChart>
        <c:grouping val="standard"/>
        <c:varyColors val="0"/>
        <c:ser>
          <c:idx val="7"/>
          <c:order val="7"/>
          <c:tx>
            <c:strRef>
              <c:f>'Passenger Numbers'!$I$2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Numbers'!$I$3:$I$15</c:f>
              <c:numCache>
                <c:formatCode>#,##0</c:formatCode>
                <c:ptCount val="13"/>
                <c:pt idx="0">
                  <c:v>14333</c:v>
                </c:pt>
                <c:pt idx="1">
                  <c:v>4747.0748556000035</c:v>
                </c:pt>
                <c:pt idx="2">
                  <c:v>625.53818910000041</c:v>
                </c:pt>
                <c:pt idx="3">
                  <c:v>4998.4593615000022</c:v>
                </c:pt>
                <c:pt idx="4">
                  <c:v>10589.328721400008</c:v>
                </c:pt>
                <c:pt idx="5">
                  <c:v>19159.786527200005</c:v>
                </c:pt>
                <c:pt idx="6">
                  <c:v>60796.087000000021</c:v>
                </c:pt>
                <c:pt idx="7">
                  <c:v>2621.0244995000012</c:v>
                </c:pt>
                <c:pt idx="8">
                  <c:v>672.30739950000054</c:v>
                </c:pt>
                <c:pt idx="9">
                  <c:v>2796.4090385000018</c:v>
                </c:pt>
                <c:pt idx="10">
                  <c:v>2262.7000000000007</c:v>
                </c:pt>
                <c:pt idx="11">
                  <c:v>1124.4097667000005</c:v>
                </c:pt>
                <c:pt idx="12">
                  <c:v>13120.712234300008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20-440F-B00E-D0F16D4C1021}"/>
            </c:ext>
          </c:extLst>
        </c:ser>
        <c:ser>
          <c:idx val="8"/>
          <c:order val="8"/>
          <c:tx>
            <c:strRef>
              <c:f>'Passenger Numbers'!$J$2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Numbers'!$J$3:$J$15</c:f>
              <c:numCache>
                <c:formatCode>#,##0</c:formatCode>
                <c:ptCount val="13"/>
                <c:pt idx="0">
                  <c:v>15766.300000000001</c:v>
                </c:pt>
                <c:pt idx="1">
                  <c:v>5221.7823411600039</c:v>
                </c:pt>
                <c:pt idx="2">
                  <c:v>688.09200801000054</c:v>
                </c:pt>
                <c:pt idx="3">
                  <c:v>5498.305297650003</c:v>
                </c:pt>
                <c:pt idx="4">
                  <c:v>11648.26159354001</c:v>
                </c:pt>
                <c:pt idx="5">
                  <c:v>21075.765179920007</c:v>
                </c:pt>
                <c:pt idx="6">
                  <c:v>4377</c:v>
                </c:pt>
                <c:pt idx="7">
                  <c:v>2883.1269494500016</c:v>
                </c:pt>
                <c:pt idx="8">
                  <c:v>739.5381394500007</c:v>
                </c:pt>
                <c:pt idx="9">
                  <c:v>3076.0499423500023</c:v>
                </c:pt>
                <c:pt idx="10">
                  <c:v>2488.9700000000012</c:v>
                </c:pt>
                <c:pt idx="11">
                  <c:v>1236.8507433700006</c:v>
                </c:pt>
                <c:pt idx="12">
                  <c:v>14432.783457730011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20-440F-B00E-D0F16D4C1021}"/>
            </c:ext>
          </c:extLst>
        </c:ser>
        <c:ser>
          <c:idx val="9"/>
          <c:order val="9"/>
          <c:tx>
            <c:strRef>
              <c:f>'Passenger Numbers'!$K$2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Numbers'!$K$3:$K$15</c:f>
              <c:numCache>
                <c:formatCode>#,##0</c:formatCode>
                <c:ptCount val="13"/>
                <c:pt idx="0">
                  <c:v>17342.930000000004</c:v>
                </c:pt>
                <c:pt idx="1">
                  <c:v>5743.9605752760044</c:v>
                </c:pt>
                <c:pt idx="2">
                  <c:v>756.90120881100063</c:v>
                </c:pt>
                <c:pt idx="3">
                  <c:v>6048.1358274150034</c:v>
                </c:pt>
                <c:pt idx="4">
                  <c:v>12813.087752894013</c:v>
                </c:pt>
                <c:pt idx="5">
                  <c:v>23183.341697912008</c:v>
                </c:pt>
                <c:pt idx="6">
                  <c:v>4814.7000000000007</c:v>
                </c:pt>
                <c:pt idx="7">
                  <c:v>3171.4396443950018</c:v>
                </c:pt>
                <c:pt idx="8">
                  <c:v>813.49195339500079</c:v>
                </c:pt>
                <c:pt idx="9">
                  <c:v>3383.6549365850028</c:v>
                </c:pt>
                <c:pt idx="10">
                  <c:v>2737.8670000000016</c:v>
                </c:pt>
                <c:pt idx="11">
                  <c:v>1360.5358177070007</c:v>
                </c:pt>
                <c:pt idx="12">
                  <c:v>15876.061803503013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20-440F-B00E-D0F16D4C1021}"/>
            </c:ext>
          </c:extLst>
        </c:ser>
        <c:ser>
          <c:idx val="10"/>
          <c:order val="10"/>
          <c:tx>
            <c:strRef>
              <c:f>'Passenger Numbers'!$L$2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Numbers'!$L$3:$L$15</c:f>
              <c:numCache>
                <c:formatCode>#,##0</c:formatCode>
                <c:ptCount val="13"/>
                <c:pt idx="0">
                  <c:v>19077.223000000005</c:v>
                </c:pt>
                <c:pt idx="1">
                  <c:v>6318.356632803605</c:v>
                </c:pt>
                <c:pt idx="2">
                  <c:v>832.59132969210077</c:v>
                </c:pt>
                <c:pt idx="3">
                  <c:v>6652.9494101565042</c:v>
                </c:pt>
                <c:pt idx="4">
                  <c:v>14094.396528183415</c:v>
                </c:pt>
                <c:pt idx="5">
                  <c:v>25501.675867703212</c:v>
                </c:pt>
                <c:pt idx="6">
                  <c:v>5296.170000000001</c:v>
                </c:pt>
                <c:pt idx="7">
                  <c:v>3488.5836088345022</c:v>
                </c:pt>
                <c:pt idx="8">
                  <c:v>894.84114873450096</c:v>
                </c:pt>
                <c:pt idx="9">
                  <c:v>3722.0204302435036</c:v>
                </c:pt>
                <c:pt idx="10">
                  <c:v>3011.6537000000021</c:v>
                </c:pt>
                <c:pt idx="11">
                  <c:v>1496.5893994777009</c:v>
                </c:pt>
                <c:pt idx="12">
                  <c:v>17463.667983853316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20-440F-B00E-D0F16D4C1021}"/>
            </c:ext>
          </c:extLst>
        </c:ser>
        <c:ser>
          <c:idx val="11"/>
          <c:order val="11"/>
          <c:tx>
            <c:strRef>
              <c:f>'Passenger Numbers'!$M$2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'Passenger Numbers'!$A$3:$A$15</c:f>
              <c:strCache>
                <c:ptCount val="13"/>
                <c:pt idx="0">
                  <c:v>Tenerife</c:v>
                </c:pt>
                <c:pt idx="1">
                  <c:v>Rome</c:v>
                </c:pt>
                <c:pt idx="2">
                  <c:v>Padua</c:v>
                </c:pt>
                <c:pt idx="3">
                  <c:v>Milan</c:v>
                </c:pt>
                <c:pt idx="4">
                  <c:v>Luton</c:v>
                </c:pt>
                <c:pt idx="5">
                  <c:v>Heathrow</c:v>
                </c:pt>
                <c:pt idx="6">
                  <c:v>Gatwick</c:v>
                </c:pt>
                <c:pt idx="7">
                  <c:v>Dublin </c:v>
                </c:pt>
                <c:pt idx="8">
                  <c:v>Cork</c:v>
                </c:pt>
                <c:pt idx="9">
                  <c:v>City of London</c:v>
                </c:pt>
                <c:pt idx="10">
                  <c:v>Catania</c:v>
                </c:pt>
                <c:pt idx="11">
                  <c:v>Belfast</c:v>
                </c:pt>
                <c:pt idx="12">
                  <c:v>Arricife</c:v>
                </c:pt>
              </c:strCache>
            </c:strRef>
          </c:cat>
          <c:val>
            <c:numRef>
              <c:f>'Passenger Numbers'!$M$3:$M$15</c:f>
              <c:numCache>
                <c:formatCode>#,##0</c:formatCode>
                <c:ptCount val="13"/>
                <c:pt idx="0">
                  <c:v>20984.945300000007</c:v>
                </c:pt>
                <c:pt idx="1">
                  <c:v>6950.1922960839656</c:v>
                </c:pt>
                <c:pt idx="2">
                  <c:v>915.85046266131087</c:v>
                </c:pt>
                <c:pt idx="3">
                  <c:v>7318.2443511721549</c:v>
                </c:pt>
                <c:pt idx="4">
                  <c:v>15503.836181001758</c:v>
                </c:pt>
                <c:pt idx="5">
                  <c:v>28051.843454473536</c:v>
                </c:pt>
                <c:pt idx="6">
                  <c:v>5825.7870000000012</c:v>
                </c:pt>
                <c:pt idx="7">
                  <c:v>3837.4419697179528</c:v>
                </c:pt>
                <c:pt idx="8">
                  <c:v>984.32526360795111</c:v>
                </c:pt>
                <c:pt idx="9">
                  <c:v>4094.2224732678542</c:v>
                </c:pt>
                <c:pt idx="10">
                  <c:v>3312.8190700000027</c:v>
                </c:pt>
                <c:pt idx="11">
                  <c:v>1646.2483394254712</c:v>
                </c:pt>
                <c:pt idx="12">
                  <c:v>19210.03478223865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20-440F-B00E-D0F16D4C1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08655"/>
        <c:axId val="98512015"/>
      </c:lineChart>
      <c:catAx>
        <c:axId val="932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8943"/>
        <c:auto val="1"/>
        <c:lblAlgn val="ctr"/>
        <c:lblOffset val="100"/>
        <c:noMultiLvlLbl val="0"/>
      </c:catAx>
      <c:valAx>
        <c:axId val="9639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1535"/>
        <c:crossBetween val="between"/>
      </c:valAx>
      <c:valAx>
        <c:axId val="98512015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08655"/>
        <c:crosses val="max"/>
        <c:crossBetween val="between"/>
      </c:valAx>
      <c:catAx>
        <c:axId val="98508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5120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557121</xdr:colOff>
      <xdr:row>2</xdr:row>
      <xdr:rowOff>116457</xdr:rowOff>
    </xdr:from>
    <xdr:to>
      <xdr:col>23</xdr:col>
      <xdr:colOff>186905</xdr:colOff>
      <xdr:row>18</xdr:row>
      <xdr:rowOff>67098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A8501F9-87B2-7043-79ED-A5227395F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kaszSkoczylas\Documents\M365_Excel_docs\Pliki\MO-200\Monthly%20Revenue.xlsx" TargetMode="External"/><Relationship Id="rId1" Type="http://schemas.openxmlformats.org/officeDocument/2006/relationships/externalLinkPath" Target="file:///C:\Users\LukaszSkoczylas\Documents\M365_Excel_docs\Pliki\MO-200\Monthly%20Reven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7 Monthly Revenue"/>
      <sheetName val="Table1"/>
      <sheetName val="Passenger Numbers with Arrival"/>
      <sheetName val="Revenue Summary"/>
      <sheetName val="Target Sales and Bonus"/>
    </sheetNames>
    <sheetDataSet>
      <sheetData sheetId="0">
        <row r="3">
          <cell r="E3">
            <v>143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7E450-50C4-4DF0-B80D-DF6B931598B9}" name="Table1" displayName="Table1" ref="A2:O16" totalsRowCount="1" headerRowDxfId="20" headerRowBorderDxfId="18" tableBorderDxfId="19" totalsRowBorderDxfId="17">
  <autoFilter ref="A2:O15" xr:uid="{93D0F8FF-B37D-45F0-8D82-F6F8D0F3C720}"/>
  <tableColumns count="15">
    <tableColumn id="1" xr3:uid="{5A6ECB94-87EF-4574-B192-472BAD2D80BD}" name="Airport/Month" totalsRowLabel="Total" dataDxfId="15" totalsRowDxfId="16"/>
    <tableColumn id="2" xr3:uid="{37CF8292-47C6-442A-8C5D-9D31DE1E344C}" name="Jan" totalsRowDxfId="14"/>
    <tableColumn id="3" xr3:uid="{80FFFC27-4017-4434-8CC1-0B0657C85788}" name="Feb" totalsRowDxfId="13"/>
    <tableColumn id="4" xr3:uid="{5AE81DDF-5D24-47F8-9935-DB1290B08FB5}" name="Mar" totalsRowDxfId="12"/>
    <tableColumn id="5" xr3:uid="{E638CBFF-DBBE-4F05-9EAE-CFC9D85EEA60}" name="Apr" totalsRowDxfId="11"/>
    <tableColumn id="6" xr3:uid="{5F395C83-CA7C-4FBD-B2A5-978E15BDE1D7}" name="May" totalsRowDxfId="10"/>
    <tableColumn id="7" xr3:uid="{68FE1011-0B3A-4B4D-94BE-57AA3534CBC1}" name="Jun" totalsRowDxfId="9">
      <calculatedColumnFormula>F3*110%</calculatedColumnFormula>
    </tableColumn>
    <tableColumn id="8" xr3:uid="{9DFB8547-E81A-46A1-9DBD-C8FDB4145FB9}" name="Jul" totalsRowDxfId="8">
      <calculatedColumnFormula>G3*110%</calculatedColumnFormula>
    </tableColumn>
    <tableColumn id="9" xr3:uid="{EA884AFC-A20E-4C6B-81B5-B1EA539F02CF}" name="Aug" totalsRowDxfId="7"/>
    <tableColumn id="10" xr3:uid="{7FCD8A6F-4A71-4B69-805A-769B431BD84E}" name="Sep" totalsRowDxfId="6"/>
    <tableColumn id="11" xr3:uid="{3C799852-05AC-48DC-A57D-6F212D5CA336}" name="Oct" totalsRowDxfId="5">
      <calculatedColumnFormula>J3*110%</calculatedColumnFormula>
    </tableColumn>
    <tableColumn id="12" xr3:uid="{AC7646F4-3A0B-4748-BB8E-D53A619F43D1}" name="Nov" totalsRowDxfId="4">
      <calculatedColumnFormula>K3*110%</calculatedColumnFormula>
    </tableColumn>
    <tableColumn id="13" xr3:uid="{0EC9D05D-C890-4E92-A3AA-8DC1184526E0}" name="Dec" totalsRowDxfId="3">
      <calculatedColumnFormula>L3*110%</calculatedColumnFormula>
    </tableColumn>
    <tableColumn id="14" xr3:uid="{70792CB7-4FF0-4D51-B3BB-026BCB206DA0}" name="Total" totalsRowFunction="sum" dataDxfId="1" totalsRowDxfId="2">
      <calculatedColumnFormula>SUM(B3:M3)</calculatedColumnFormula>
    </tableColumn>
    <tableColumn id="19" xr3:uid="{92636968-4F9C-46DF-B87F-AB79B7AC6B3D}" name="Date Of Arrival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3084-4747-48AA-B0A4-6968E6919C14}">
  <dimension ref="A1:O18"/>
  <sheetViews>
    <sheetView tabSelected="1" topLeftCell="C1" zoomScale="106" zoomScaleNormal="106" workbookViewId="0">
      <selection activeCell="N9" sqref="N9"/>
    </sheetView>
  </sheetViews>
  <sheetFormatPr defaultRowHeight="14.4" x14ac:dyDescent="0.3"/>
  <cols>
    <col min="1" max="1" width="16.33203125" customWidth="1"/>
    <col min="14" max="14" width="9.5546875" bestFit="1" customWidth="1"/>
    <col min="15" max="15" width="17.5546875" bestFit="1" customWidth="1"/>
  </cols>
  <sheetData>
    <row r="1" spans="1:15" ht="28.8" x14ac:dyDescent="0.55000000000000004">
      <c r="A1" s="10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5" ht="22.5" customHeight="1" x14ac:dyDescent="0.3">
      <c r="A2" s="9" t="s">
        <v>27</v>
      </c>
      <c r="B2" s="8" t="s">
        <v>26</v>
      </c>
      <c r="C2" s="8" t="s">
        <v>25</v>
      </c>
      <c r="D2" s="8" t="s">
        <v>24</v>
      </c>
      <c r="E2" s="8" t="s">
        <v>23</v>
      </c>
      <c r="F2" s="8" t="s">
        <v>22</v>
      </c>
      <c r="G2" s="8" t="s">
        <v>21</v>
      </c>
      <c r="H2" s="8" t="s">
        <v>20</v>
      </c>
      <c r="I2" s="8" t="s">
        <v>19</v>
      </c>
      <c r="J2" s="8" t="s">
        <v>18</v>
      </c>
      <c r="K2" s="8" t="s">
        <v>17</v>
      </c>
      <c r="L2" s="8" t="s">
        <v>16</v>
      </c>
      <c r="M2" s="8" t="s">
        <v>15</v>
      </c>
      <c r="N2" s="8" t="s">
        <v>0</v>
      </c>
      <c r="O2" s="8" t="s">
        <v>14</v>
      </c>
    </row>
    <row r="3" spans="1:15" x14ac:dyDescent="0.3">
      <c r="A3" s="6" t="s">
        <v>13</v>
      </c>
      <c r="B3" s="5">
        <v>7844</v>
      </c>
      <c r="C3" s="5">
        <f>B3*110%</f>
        <v>8628.4000000000015</v>
      </c>
      <c r="D3" s="5">
        <f>C3*110%</f>
        <v>9491.2400000000016</v>
      </c>
      <c r="E3" s="5">
        <f>D3*110%</f>
        <v>10440.364000000003</v>
      </c>
      <c r="F3" s="5">
        <f>E3*110%</f>
        <v>11484.400400000004</v>
      </c>
      <c r="G3" s="5">
        <f>F3*110%</f>
        <v>12632.840440000005</v>
      </c>
      <c r="H3" s="5">
        <f>G3*110%</f>
        <v>13896.124484000007</v>
      </c>
      <c r="I3" s="5">
        <v>14333</v>
      </c>
      <c r="J3" s="5">
        <f>I3*110%</f>
        <v>15766.300000000001</v>
      </c>
      <c r="K3" s="5">
        <f>J3*110%</f>
        <v>17342.930000000004</v>
      </c>
      <c r="L3" s="5">
        <f>K3*110%</f>
        <v>19077.223000000005</v>
      </c>
      <c r="M3" s="5">
        <f>L3*110%</f>
        <v>20984.945300000007</v>
      </c>
      <c r="N3" s="5">
        <f>SUM(B3:M3)</f>
        <v>161921.76762400003</v>
      </c>
      <c r="O3" s="4">
        <v>43070</v>
      </c>
    </row>
    <row r="4" spans="1:15" ht="103.8" customHeight="1" x14ac:dyDescent="0.3">
      <c r="A4" s="6" t="s">
        <v>12</v>
      </c>
      <c r="B4" s="5">
        <v>2436</v>
      </c>
      <c r="C4" s="5">
        <f>B4*110%</f>
        <v>2679.6000000000004</v>
      </c>
      <c r="D4" s="5">
        <f>C4*110%</f>
        <v>2947.5600000000009</v>
      </c>
      <c r="E4" s="5">
        <f>D4*110%</f>
        <v>3242.3160000000012</v>
      </c>
      <c r="F4" s="5">
        <f>E4*110%</f>
        <v>3566.5476000000017</v>
      </c>
      <c r="G4" s="5">
        <f>F4*110%</f>
        <v>3923.202360000002</v>
      </c>
      <c r="H4" s="5">
        <f>G4*110%</f>
        <v>4315.5225960000025</v>
      </c>
      <c r="I4" s="5">
        <f>H4*110%</f>
        <v>4747.0748556000035</v>
      </c>
      <c r="J4" s="5">
        <f>I4*110%</f>
        <v>5221.7823411600039</v>
      </c>
      <c r="K4" s="5">
        <f>J4*110%</f>
        <v>5743.9605752760044</v>
      </c>
      <c r="L4" s="5">
        <f>K4*110%</f>
        <v>6318.356632803605</v>
      </c>
      <c r="M4" s="5">
        <f>L4*110%</f>
        <v>6950.1922960839656</v>
      </c>
      <c r="N4" s="5">
        <f>SUM(B4:M4)</f>
        <v>52092.115256923593</v>
      </c>
      <c r="O4" s="4">
        <v>43070</v>
      </c>
    </row>
    <row r="5" spans="1:15" x14ac:dyDescent="0.3">
      <c r="A5" s="6" t="s">
        <v>11</v>
      </c>
      <c r="B5" s="5">
        <v>321</v>
      </c>
      <c r="C5" s="5">
        <f>B5*110%</f>
        <v>353.1</v>
      </c>
      <c r="D5" s="5">
        <f>C5*110%</f>
        <v>388.41000000000008</v>
      </c>
      <c r="E5" s="5">
        <f>D5*110%</f>
        <v>427.25100000000015</v>
      </c>
      <c r="F5" s="5">
        <f>E5*110%</f>
        <v>469.9761000000002</v>
      </c>
      <c r="G5" s="5">
        <f>F5*110%</f>
        <v>516.97371000000021</v>
      </c>
      <c r="H5" s="5">
        <f>G5*110%</f>
        <v>568.6710810000003</v>
      </c>
      <c r="I5" s="5">
        <f>H5*110%</f>
        <v>625.53818910000041</v>
      </c>
      <c r="J5" s="5">
        <f>I5*110%</f>
        <v>688.09200801000054</v>
      </c>
      <c r="K5" s="5">
        <f>J5*110%</f>
        <v>756.90120881100063</v>
      </c>
      <c r="L5" s="5">
        <f>K5*110%</f>
        <v>832.59132969210077</v>
      </c>
      <c r="M5" s="5">
        <f>L5*110%</f>
        <v>915.85046266131087</v>
      </c>
      <c r="N5" s="5">
        <f>SUM(B5:M5)</f>
        <v>6864.3550892744142</v>
      </c>
      <c r="O5" s="4">
        <v>43099</v>
      </c>
    </row>
    <row r="6" spans="1:15" x14ac:dyDescent="0.3">
      <c r="A6" s="6" t="s">
        <v>10</v>
      </c>
      <c r="B6" s="7">
        <v>2565</v>
      </c>
      <c r="C6" s="7">
        <f>B6*110%</f>
        <v>2821.5000000000005</v>
      </c>
      <c r="D6" s="7">
        <f>C6*110%</f>
        <v>3103.6500000000005</v>
      </c>
      <c r="E6" s="7">
        <f>D6*110%</f>
        <v>3414.0150000000008</v>
      </c>
      <c r="F6" s="7">
        <f>E6*110%</f>
        <v>3755.4165000000012</v>
      </c>
      <c r="G6" s="7">
        <f>F6*110%</f>
        <v>4130.9581500000013</v>
      </c>
      <c r="H6" s="7">
        <f>G6*110%</f>
        <v>4544.0539650000019</v>
      </c>
      <c r="I6" s="7">
        <f>H6*110%</f>
        <v>4998.4593615000022</v>
      </c>
      <c r="J6" s="7">
        <f>I6*110%</f>
        <v>5498.305297650003</v>
      </c>
      <c r="K6" s="7">
        <f>J6*110%</f>
        <v>6048.1358274150034</v>
      </c>
      <c r="L6" s="7">
        <f>K6*110%</f>
        <v>6652.9494101565042</v>
      </c>
      <c r="M6" s="7">
        <f>L6*110%</f>
        <v>7318.2443511721549</v>
      </c>
      <c r="N6" s="5">
        <f>SUM(B6:M6)</f>
        <v>54850.687862893683</v>
      </c>
      <c r="O6" s="4">
        <v>43090</v>
      </c>
    </row>
    <row r="7" spans="1:15" x14ac:dyDescent="0.3">
      <c r="A7" s="6" t="s">
        <v>9</v>
      </c>
      <c r="B7" s="5">
        <v>5434</v>
      </c>
      <c r="C7" s="5">
        <f>B7*110%</f>
        <v>5977.4000000000005</v>
      </c>
      <c r="D7" s="5">
        <f>C7*110%</f>
        <v>6575.1400000000012</v>
      </c>
      <c r="E7" s="5">
        <f>D7*110%</f>
        <v>7232.6540000000023</v>
      </c>
      <c r="F7" s="5">
        <f>E7*110%</f>
        <v>7955.9194000000034</v>
      </c>
      <c r="G7" s="5">
        <f>F7*110%</f>
        <v>8751.5113400000046</v>
      </c>
      <c r="H7" s="5">
        <f>G7*110%</f>
        <v>9626.6624740000061</v>
      </c>
      <c r="I7" s="5">
        <f>H7*110%</f>
        <v>10589.328721400008</v>
      </c>
      <c r="J7" s="5">
        <f>I7*110%</f>
        <v>11648.26159354001</v>
      </c>
      <c r="K7" s="5">
        <f>J7*110%</f>
        <v>12813.087752894013</v>
      </c>
      <c r="L7" s="5">
        <f>K7*110%</f>
        <v>14094.396528183415</v>
      </c>
      <c r="M7" s="5">
        <f>L7*110%</f>
        <v>15503.836181001758</v>
      </c>
      <c r="N7" s="5">
        <f>SUM(B7:M7)</f>
        <v>116202.19799101922</v>
      </c>
      <c r="O7" s="4">
        <v>43072</v>
      </c>
    </row>
    <row r="8" spans="1:15" x14ac:dyDescent="0.3">
      <c r="A8" s="6" t="s">
        <v>8</v>
      </c>
      <c r="B8" s="7">
        <v>9832</v>
      </c>
      <c r="C8" s="7">
        <f>B8*110%</f>
        <v>10815.2</v>
      </c>
      <c r="D8" s="7">
        <f>C8*110%</f>
        <v>11896.720000000001</v>
      </c>
      <c r="E8" s="7">
        <f>D8*110%</f>
        <v>13086.392000000002</v>
      </c>
      <c r="F8" s="7">
        <f>E8*110%</f>
        <v>14395.031200000003</v>
      </c>
      <c r="G8" s="7">
        <f>F8*110%</f>
        <v>15834.534320000004</v>
      </c>
      <c r="H8" s="7">
        <f>G8*110%</f>
        <v>17417.987752000005</v>
      </c>
      <c r="I8" s="7">
        <f>H8*110%</f>
        <v>19159.786527200005</v>
      </c>
      <c r="J8" s="7">
        <f>I8*110%</f>
        <v>21075.765179920007</v>
      </c>
      <c r="K8" s="7">
        <f>J8*110%</f>
        <v>23183.341697912008</v>
      </c>
      <c r="L8" s="7">
        <f>K8*110%</f>
        <v>25501.675867703212</v>
      </c>
      <c r="M8" s="7">
        <f>L8*110%</f>
        <v>28051.843454473536</v>
      </c>
      <c r="N8" s="5">
        <f>SUM(B8:M8)</f>
        <v>210250.27799920877</v>
      </c>
      <c r="O8" s="4">
        <v>43073</v>
      </c>
    </row>
    <row r="9" spans="1:15" x14ac:dyDescent="0.3">
      <c r="A9" s="6" t="s">
        <v>7</v>
      </c>
      <c r="B9" s="5">
        <v>4568</v>
      </c>
      <c r="C9" s="5">
        <f>B9*110%</f>
        <v>5024.8</v>
      </c>
      <c r="D9" s="5">
        <f>C9*110%</f>
        <v>5527.2800000000007</v>
      </c>
      <c r="E9" s="5">
        <f>D9*110%</f>
        <v>6080.0080000000016</v>
      </c>
      <c r="F9" s="5">
        <v>45677</v>
      </c>
      <c r="G9" s="5">
        <f>F9*110%</f>
        <v>50244.700000000004</v>
      </c>
      <c r="H9" s="5">
        <f>G9*110%</f>
        <v>55269.170000000013</v>
      </c>
      <c r="I9" s="5">
        <f>H9*110%</f>
        <v>60796.087000000021</v>
      </c>
      <c r="J9" s="5">
        <v>4377</v>
      </c>
      <c r="K9" s="5">
        <f>J9*110%</f>
        <v>4814.7000000000007</v>
      </c>
      <c r="L9" s="5">
        <f>K9*110%</f>
        <v>5296.170000000001</v>
      </c>
      <c r="M9" s="5">
        <f>L9*110%</f>
        <v>5825.7870000000012</v>
      </c>
      <c r="N9" s="5">
        <f>SUM(B9:M9)</f>
        <v>253500.70200000008</v>
      </c>
      <c r="O9" s="4">
        <v>43073</v>
      </c>
    </row>
    <row r="10" spans="1:15" x14ac:dyDescent="0.3">
      <c r="A10" s="6" t="s">
        <v>6</v>
      </c>
      <c r="B10" s="7">
        <v>1345</v>
      </c>
      <c r="C10" s="7">
        <f>B10*110%</f>
        <v>1479.5000000000002</v>
      </c>
      <c r="D10" s="7">
        <f>C10*110%</f>
        <v>1627.4500000000003</v>
      </c>
      <c r="E10" s="7">
        <f>D10*110%</f>
        <v>1790.1950000000004</v>
      </c>
      <c r="F10" s="7">
        <f>E10*110%</f>
        <v>1969.2145000000005</v>
      </c>
      <c r="G10" s="7">
        <f>F10*110%</f>
        <v>2166.1359500000008</v>
      </c>
      <c r="H10" s="7">
        <f>G10*110%</f>
        <v>2382.749545000001</v>
      </c>
      <c r="I10" s="7">
        <f>H10*110%</f>
        <v>2621.0244995000012</v>
      </c>
      <c r="J10" s="7">
        <f>I10*110%</f>
        <v>2883.1269494500016</v>
      </c>
      <c r="K10" s="7">
        <f>J10*110%</f>
        <v>3171.4396443950018</v>
      </c>
      <c r="L10" s="7">
        <f>K10*110%</f>
        <v>3488.5836088345022</v>
      </c>
      <c r="M10" s="7">
        <f>L10*110%</f>
        <v>3837.4419697179528</v>
      </c>
      <c r="N10" s="5">
        <f>SUM(B10:M10)</f>
        <v>28761.861666897465</v>
      </c>
      <c r="O10" s="4">
        <v>43074</v>
      </c>
    </row>
    <row r="11" spans="1:15" x14ac:dyDescent="0.3">
      <c r="A11" s="6" t="s">
        <v>5</v>
      </c>
      <c r="B11" s="5">
        <v>345</v>
      </c>
      <c r="C11" s="5">
        <f>B11*110%</f>
        <v>379.50000000000006</v>
      </c>
      <c r="D11" s="5">
        <f>C11*110%</f>
        <v>417.4500000000001</v>
      </c>
      <c r="E11" s="5">
        <f>D11*110%</f>
        <v>459.19500000000016</v>
      </c>
      <c r="F11" s="5">
        <f>E11*110%</f>
        <v>505.11450000000025</v>
      </c>
      <c r="G11" s="5">
        <f>F11*110%</f>
        <v>555.62595000000033</v>
      </c>
      <c r="H11" s="5">
        <f>G11*110%</f>
        <v>611.18854500000043</v>
      </c>
      <c r="I11" s="5">
        <f>H11*110%</f>
        <v>672.30739950000054</v>
      </c>
      <c r="J11" s="5">
        <f>I11*110%</f>
        <v>739.5381394500007</v>
      </c>
      <c r="K11" s="5">
        <f>J11*110%</f>
        <v>813.49195339500079</v>
      </c>
      <c r="L11" s="5">
        <f>K11*110%</f>
        <v>894.84114873450096</v>
      </c>
      <c r="M11" s="5">
        <f>L11*110%</f>
        <v>984.32526360795111</v>
      </c>
      <c r="N11" s="5">
        <f>SUM(B11:M11)</f>
        <v>7377.5778996874551</v>
      </c>
      <c r="O11" s="4">
        <v>43071</v>
      </c>
    </row>
    <row r="12" spans="1:15" x14ac:dyDescent="0.3">
      <c r="A12" s="6" t="s">
        <v>4</v>
      </c>
      <c r="B12" s="7">
        <v>1435</v>
      </c>
      <c r="C12" s="7">
        <f>B12*110%</f>
        <v>1578.5000000000002</v>
      </c>
      <c r="D12" s="7">
        <f>C12*110%</f>
        <v>1736.3500000000004</v>
      </c>
      <c r="E12" s="7">
        <f>D12*110%</f>
        <v>1909.9850000000006</v>
      </c>
      <c r="F12" s="7">
        <f>E12*110%</f>
        <v>2100.9835000000007</v>
      </c>
      <c r="G12" s="7">
        <f>F12*110%</f>
        <v>2311.0818500000009</v>
      </c>
      <c r="H12" s="7">
        <f>G12*110%</f>
        <v>2542.1900350000014</v>
      </c>
      <c r="I12" s="7">
        <f>H12*110%</f>
        <v>2796.4090385000018</v>
      </c>
      <c r="J12" s="7">
        <f>I12*110%</f>
        <v>3076.0499423500023</v>
      </c>
      <c r="K12" s="7">
        <f>J12*110%</f>
        <v>3383.6549365850028</v>
      </c>
      <c r="L12" s="7">
        <f>K12*110%</f>
        <v>3722.0204302435036</v>
      </c>
      <c r="M12" s="7">
        <f>L12*110%</f>
        <v>4094.2224732678542</v>
      </c>
      <c r="N12" s="5">
        <f>SUM(B12:M12)</f>
        <v>30686.44720594637</v>
      </c>
      <c r="O12" s="4">
        <v>43100</v>
      </c>
    </row>
    <row r="13" spans="1:15" ht="61.8" customHeight="1" x14ac:dyDescent="0.3">
      <c r="A13" s="6" t="s">
        <v>3</v>
      </c>
      <c r="B13" s="5">
        <v>789</v>
      </c>
      <c r="C13" s="5">
        <v>800</v>
      </c>
      <c r="D13" s="5">
        <v>5678</v>
      </c>
      <c r="E13" s="5">
        <v>890</v>
      </c>
      <c r="F13" s="5">
        <v>1700</v>
      </c>
      <c r="G13" s="5">
        <f>F13*110%</f>
        <v>1870.0000000000002</v>
      </c>
      <c r="H13" s="5">
        <f>G13*110%</f>
        <v>2057.0000000000005</v>
      </c>
      <c r="I13" s="5">
        <f>H13*110%</f>
        <v>2262.7000000000007</v>
      </c>
      <c r="J13" s="5">
        <f>I13*110%</f>
        <v>2488.9700000000012</v>
      </c>
      <c r="K13" s="5">
        <f>J13*110%</f>
        <v>2737.8670000000016</v>
      </c>
      <c r="L13" s="5">
        <f>K13*110%</f>
        <v>3011.6537000000021</v>
      </c>
      <c r="M13" s="5">
        <f>L13*110%</f>
        <v>3312.8190700000027</v>
      </c>
      <c r="N13" s="5">
        <f>SUM(B13:M13)</f>
        <v>27598.009770000008</v>
      </c>
      <c r="O13" s="4">
        <v>43081</v>
      </c>
    </row>
    <row r="14" spans="1:15" ht="63" customHeight="1" x14ac:dyDescent="0.3">
      <c r="A14" s="6" t="s">
        <v>2</v>
      </c>
      <c r="B14" s="7">
        <v>577</v>
      </c>
      <c r="C14" s="7">
        <f>B14*110%</f>
        <v>634.70000000000005</v>
      </c>
      <c r="D14" s="7">
        <f>C14*110%</f>
        <v>698.17000000000007</v>
      </c>
      <c r="E14" s="7">
        <f>D14*110%</f>
        <v>767.98700000000019</v>
      </c>
      <c r="F14" s="7">
        <f>E14*110%</f>
        <v>844.78570000000025</v>
      </c>
      <c r="G14" s="7">
        <f>F14*110%</f>
        <v>929.26427000000035</v>
      </c>
      <c r="H14" s="7">
        <f>G14*110%</f>
        <v>1022.1906970000005</v>
      </c>
      <c r="I14" s="7">
        <f>H14*110%</f>
        <v>1124.4097667000005</v>
      </c>
      <c r="J14" s="7">
        <f>I14*110%</f>
        <v>1236.8507433700006</v>
      </c>
      <c r="K14" s="7">
        <f>J14*110%</f>
        <v>1360.5358177070007</v>
      </c>
      <c r="L14" s="7">
        <f>K14*110%</f>
        <v>1496.5893994777009</v>
      </c>
      <c r="M14" s="7">
        <f>L14*110%</f>
        <v>1646.2483394254712</v>
      </c>
      <c r="N14" s="5">
        <f>SUM(B14:M14)</f>
        <v>12338.731733680175</v>
      </c>
      <c r="O14" s="4">
        <v>43092</v>
      </c>
    </row>
    <row r="15" spans="1:15" x14ac:dyDescent="0.3">
      <c r="A15" s="6" t="s">
        <v>1</v>
      </c>
      <c r="B15" s="5">
        <v>6733</v>
      </c>
      <c r="C15" s="5">
        <f>B15*110%</f>
        <v>7406.3</v>
      </c>
      <c r="D15" s="5">
        <f>C15*110%</f>
        <v>8146.9300000000012</v>
      </c>
      <c r="E15" s="5">
        <f>D15*110%</f>
        <v>8961.6230000000014</v>
      </c>
      <c r="F15" s="5">
        <f>E15*110%</f>
        <v>9857.7853000000032</v>
      </c>
      <c r="G15" s="5">
        <f>F15*110%</f>
        <v>10843.563830000005</v>
      </c>
      <c r="H15" s="5">
        <f>G15*110%</f>
        <v>11927.920213000007</v>
      </c>
      <c r="I15" s="5">
        <f>H15*110%</f>
        <v>13120.712234300008</v>
      </c>
      <c r="J15" s="5">
        <f>I15*110%</f>
        <v>14432.783457730011</v>
      </c>
      <c r="K15" s="5">
        <f>J15*110%</f>
        <v>15876.061803503013</v>
      </c>
      <c r="L15" s="5">
        <f>K15*110%</f>
        <v>17463.667983853316</v>
      </c>
      <c r="M15" s="5">
        <f>L15*110%</f>
        <v>19210.03478223865</v>
      </c>
      <c r="N15" s="5">
        <f>SUM(B15:M15)</f>
        <v>143980.38260462502</v>
      </c>
      <c r="O15" s="4">
        <v>43100</v>
      </c>
    </row>
    <row r="16" spans="1:15" x14ac:dyDescent="0.3">
      <c r="A16" s="3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>
        <f>SUBTOTAL(109,Table1[Total])</f>
        <v>1106425.1147041561</v>
      </c>
      <c r="O16" s="1"/>
    </row>
    <row r="17" spans="5:9" x14ac:dyDescent="0.3">
      <c r="E17" t="str">
        <f>RIGHT(A12,'[1]2017 Monthly Revenue'!E3)</f>
        <v>City of London</v>
      </c>
    </row>
    <row r="18" spans="5:9" x14ac:dyDescent="0.3">
      <c r="I18">
        <f>COUNTA(A:A)</f>
        <v>16</v>
      </c>
    </row>
  </sheetData>
  <mergeCells count="1">
    <mergeCell ref="A1:L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Passenger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Skoczylas</dc:creator>
  <cp:lastModifiedBy>Łukasz Skoczylas</cp:lastModifiedBy>
  <dcterms:created xsi:type="dcterms:W3CDTF">2025-12-11T00:42:35Z</dcterms:created>
  <dcterms:modified xsi:type="dcterms:W3CDTF">2025-12-11T00:47:12Z</dcterms:modified>
</cp:coreProperties>
</file>