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 codeName="Ten_skoroszyt"/>
  <xr:revisionPtr revIDLastSave="0" documentId="8_{A9004ACA-1059-4C1F-BF94-3C2C630F1F6D}" xr6:coauthVersionLast="47" xr6:coauthVersionMax="47" xr10:uidLastSave="{00000000-0000-0000-0000-000000000000}"/>
  <bookViews>
    <workbookView xWindow="2268" yWindow="648" windowWidth="17280" windowHeight="8880" tabRatio="751" xr2:uid="{00000000-000D-0000-FFFF-FFFF00000000}"/>
  </bookViews>
  <sheets>
    <sheet name="Podstawy" sheetId="7" r:id="rId1"/>
    <sheet name="KolumnowySłupkowy" sheetId="8" r:id="rId2"/>
    <sheet name="Kołowy" sheetId="9" r:id="rId3"/>
    <sheet name="DrugieKoło" sheetId="15" r:id="rId4"/>
  </sheets>
  <definedNames>
    <definedName name="_xlnm._FilterDatabase" localSheetId="3" hidden="1">DrugieKoło!#REF!</definedName>
    <definedName name="_xlnm._FilterDatabase" localSheetId="1" hidden="1">KolumnowySłupkowy!#REF!</definedName>
    <definedName name="_xlnm._FilterDatabase" localSheetId="2" hidden="1">Kołowy!#REF!</definedName>
    <definedName name="_xlnm._FilterDatabase" localSheetId="0" hidden="1">Podstawy!#REF!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5" l="1"/>
  <c r="D6" i="8" l="1"/>
  <c r="C6" i="8"/>
  <c r="B6" i="8"/>
  <c r="E5" i="8"/>
  <c r="E4" i="8"/>
  <c r="E3" i="8"/>
  <c r="F17" i="7"/>
  <c r="F5" i="7"/>
  <c r="F4" i="7"/>
  <c r="F3" i="7"/>
  <c r="F2" i="7"/>
  <c r="E6" i="8" l="1"/>
</calcChain>
</file>

<file path=xl/sharedStrings.xml><?xml version="1.0" encoding="utf-8"?>
<sst xmlns="http://schemas.openxmlformats.org/spreadsheetml/2006/main" count="49" uniqueCount="34">
  <si>
    <t>Suma końcowa</t>
  </si>
  <si>
    <t>Gąbki</t>
  </si>
  <si>
    <t>Muszelki</t>
  </si>
  <si>
    <t>Piasek</t>
  </si>
  <si>
    <t>Produkt</t>
  </si>
  <si>
    <t>paź</t>
  </si>
  <si>
    <t>lis</t>
  </si>
  <si>
    <t>gru</t>
  </si>
  <si>
    <t>Suma</t>
  </si>
  <si>
    <t>Nagłówki wierszy pojawią się w kodowanej kolorami 'Legendzie'</t>
  </si>
  <si>
    <t>wtedy będą automatycznie traktowane jako serie danych</t>
  </si>
  <si>
    <t>Wodorost</t>
  </si>
  <si>
    <t>Województwo</t>
  </si>
  <si>
    <t>L. mieszkanców</t>
  </si>
  <si>
    <t>Lubelskie</t>
  </si>
  <si>
    <t>Lubuskie</t>
  </si>
  <si>
    <t>Łódzkie</t>
  </si>
  <si>
    <t>Małopolskie</t>
  </si>
  <si>
    <t>Suma z Wartość</t>
  </si>
  <si>
    <t>Muszelki 3</t>
  </si>
  <si>
    <t>Żółwik</t>
  </si>
  <si>
    <t>Błazenek</t>
  </si>
  <si>
    <t>Muszelki 1</t>
  </si>
  <si>
    <t>Muszelki 2</t>
  </si>
  <si>
    <t>Wodorosty</t>
  </si>
  <si>
    <t>Słońce</t>
  </si>
  <si>
    <t>Deszcz</t>
  </si>
  <si>
    <t>Wiatr</t>
  </si>
  <si>
    <t>Sprzedaż "Słońce i Deszcz" zima 2015</t>
  </si>
  <si>
    <t>Mazowieckie</t>
  </si>
  <si>
    <t>Opolskie</t>
  </si>
  <si>
    <t>Podkarpackie</t>
  </si>
  <si>
    <t>Podlaskie</t>
  </si>
  <si>
    <t>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</si>
</sst>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zł&quot;;[Red]\-#,##0.00\ &quot;zł&quot;"/>
    <numFmt numFmtId="164" formatCode="_-* #,##0.00\ _z_ł_-;\-* #,##0.00\ _z_ł_-;_-* &quot;-&quot;??\ _z_ł_-;_-@_-"/>
    <numFmt numFmtId="165" formatCode="_(* #,##0.00_);_(* \(#,##0.00\);_(* &quot;-&quot;??_);_(@_)"/>
    <numFmt numFmtId="166" formatCode="&quot;$&quot;#,##0,"/>
    <numFmt numFmtId="167" formatCode="d\-mmm\-yyyy"/>
  </numFmts>
  <fonts count="1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sz val="11"/>
      <name val="Calibri"/>
      <family val="2"/>
      <charset val="238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zcionka tekstu podstawowego"/>
      <family val="2"/>
      <charset val="238"/>
    </font>
    <font>
      <b/>
      <sz val="14"/>
      <color theme="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1"/>
      <color rgb="FFFFFFFF"/>
      <name val="Calibri"/>
      <family val="2"/>
      <charset val="238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2EA3F2"/>
        <bgColor rgb="FF000000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32">
    <xf numFmtId="0" fontId="0" fillId="0" borderId="0"/>
    <xf numFmtId="0" fontId="4" fillId="3" borderId="0" applyNumberFormat="0" applyBorder="0" applyAlignment="0" applyProtection="0"/>
    <xf numFmtId="0" fontId="5" fillId="0" borderId="0"/>
    <xf numFmtId="0" fontId="6" fillId="6" borderId="4">
      <alignment wrapText="1"/>
    </xf>
    <xf numFmtId="0" fontId="7" fillId="7" borderId="1" applyBorder="0">
      <alignment horizontal="centerContinuous" wrapText="1"/>
    </xf>
    <xf numFmtId="165" fontId="8" fillId="0" borderId="0" applyFont="0" applyFill="0" applyBorder="0" applyAlignment="0" applyProtection="0"/>
    <xf numFmtId="166" fontId="9" fillId="0" borderId="0"/>
    <xf numFmtId="0" fontId="2" fillId="5" borderId="0"/>
    <xf numFmtId="164" fontId="5" fillId="0" borderId="0" applyFont="0" applyFill="0" applyBorder="0" applyAlignment="0" applyProtection="0"/>
    <xf numFmtId="0" fontId="4" fillId="8" borderId="4">
      <alignment horizontal="center" vertical="center"/>
    </xf>
    <xf numFmtId="0" fontId="2" fillId="9" borderId="4">
      <alignment horizontal="center" vertical="center"/>
    </xf>
    <xf numFmtId="8" fontId="1" fillId="10" borderId="4" applyNumberFormat="0"/>
    <xf numFmtId="8" fontId="1" fillId="11" borderId="4" applyFont="0" applyBorder="0"/>
    <xf numFmtId="8" fontId="1" fillId="9" borderId="4" applyFont="0" applyBorder="0"/>
    <xf numFmtId="8" fontId="1" fillId="12" borderId="4" applyFont="0" applyBorder="0"/>
    <xf numFmtId="8" fontId="1" fillId="13" borderId="4" applyFont="0" applyBorder="0"/>
    <xf numFmtId="0" fontId="1" fillId="14" borderId="0" applyFont="0" applyBorder="0"/>
    <xf numFmtId="8" fontId="1" fillId="15" borderId="4" applyFont="0" applyBorder="0"/>
    <xf numFmtId="8" fontId="10" fillId="4" borderId="4"/>
    <xf numFmtId="8" fontId="10" fillId="4" borderId="4" applyNumberFormat="0"/>
    <xf numFmtId="8" fontId="10" fillId="4" borderId="4" applyNumberFormat="0" applyAlignment="0"/>
    <xf numFmtId="0" fontId="10" fillId="4" borderId="4"/>
    <xf numFmtId="167" fontId="11" fillId="0" borderId="0" applyFont="0" applyFill="0" applyBorder="0" applyProtection="0">
      <alignment horizontal="center"/>
    </xf>
    <xf numFmtId="0" fontId="12" fillId="0" borderId="0" applyNumberFormat="0" applyFill="0" applyBorder="0" applyAlignment="0" applyProtection="0"/>
    <xf numFmtId="0" fontId="10" fillId="3" borderId="1" applyBorder="0"/>
    <xf numFmtId="0" fontId="2" fillId="2" borderId="4"/>
    <xf numFmtId="0" fontId="8" fillId="0" borderId="0"/>
    <xf numFmtId="0" fontId="13" fillId="0" borderId="0"/>
    <xf numFmtId="8" fontId="1" fillId="16" borderId="4"/>
    <xf numFmtId="0" fontId="8" fillId="0" borderId="0">
      <alignment wrapText="1"/>
    </xf>
    <xf numFmtId="0" fontId="10" fillId="3" borderId="1"/>
    <xf numFmtId="0" fontId="15" fillId="0" borderId="0" applyNumberFormat="0" applyFill="0" applyBorder="0" applyAlignment="0" applyProtection="0"/>
  </cellStyleXfs>
  <cellXfs count="25">
    <xf numFmtId="0" fontId="0" fillId="0" borderId="0" xfId="0"/>
    <xf numFmtId="0" fontId="5" fillId="0" borderId="0" xfId="2"/>
    <xf numFmtId="0" fontId="5" fillId="0" borderId="4" xfId="2" applyBorder="1"/>
    <xf numFmtId="0" fontId="14" fillId="5" borderId="1" xfId="2" applyFont="1" applyFill="1" applyBorder="1" applyAlignment="1">
      <alignment horizontal="centerContinuous"/>
    </xf>
    <xf numFmtId="8" fontId="5" fillId="0" borderId="4" xfId="2" applyNumberFormat="1" applyBorder="1"/>
    <xf numFmtId="0" fontId="10" fillId="0" borderId="4" xfId="31" applyFont="1" applyBorder="1" applyAlignment="1">
      <alignment horizontal="center" vertical="center" wrapText="1"/>
    </xf>
    <xf numFmtId="3" fontId="10" fillId="0" borderId="4" xfId="2" applyNumberFormat="1" applyFont="1" applyBorder="1" applyAlignment="1">
      <alignment horizontal="center" vertical="center" wrapText="1"/>
    </xf>
    <xf numFmtId="0" fontId="5" fillId="0" borderId="6" xfId="2" applyBorder="1"/>
    <xf numFmtId="8" fontId="5" fillId="0" borderId="6" xfId="2" applyNumberFormat="1" applyBorder="1"/>
    <xf numFmtId="0" fontId="3" fillId="0" borderId="12" xfId="2" applyFont="1" applyBorder="1"/>
    <xf numFmtId="8" fontId="3" fillId="0" borderId="12" xfId="2" applyNumberFormat="1" applyFont="1" applyBorder="1"/>
    <xf numFmtId="8" fontId="10" fillId="17" borderId="4" xfId="20" applyNumberFormat="1" applyFill="1"/>
    <xf numFmtId="0" fontId="16" fillId="18" borderId="4" xfId="0" applyFont="1" applyFill="1" applyBorder="1" applyAlignment="1">
      <alignment horizontal="center" vertical="center"/>
    </xf>
    <xf numFmtId="0" fontId="10" fillId="19" borderId="7" xfId="1" applyFont="1" applyFill="1" applyBorder="1"/>
    <xf numFmtId="0" fontId="10" fillId="19" borderId="8" xfId="1" applyFont="1" applyFill="1" applyBorder="1"/>
    <xf numFmtId="0" fontId="10" fillId="19" borderId="5" xfId="1" applyFont="1" applyFill="1" applyBorder="1"/>
    <xf numFmtId="0" fontId="10" fillId="19" borderId="9" xfId="1" applyFont="1" applyFill="1" applyBorder="1"/>
    <xf numFmtId="0" fontId="10" fillId="19" borderId="0" xfId="1" applyFont="1" applyFill="1" applyBorder="1"/>
    <xf numFmtId="0" fontId="10" fillId="19" borderId="10" xfId="1" applyFont="1" applyFill="1" applyBorder="1"/>
    <xf numFmtId="0" fontId="10" fillId="19" borderId="3" xfId="1" applyFont="1" applyFill="1" applyBorder="1"/>
    <xf numFmtId="0" fontId="10" fillId="19" borderId="11" xfId="1" applyFont="1" applyFill="1" applyBorder="1"/>
    <xf numFmtId="0" fontId="10" fillId="19" borderId="2" xfId="1" applyFont="1" applyFill="1" applyBorder="1"/>
    <xf numFmtId="0" fontId="10" fillId="19" borderId="4" xfId="1" applyFont="1" applyFill="1" applyBorder="1" applyAlignment="1">
      <alignment wrapText="1"/>
    </xf>
    <xf numFmtId="0" fontId="10" fillId="0" borderId="0" xfId="31" applyFont="1" applyBorder="1" applyAlignment="1">
      <alignment horizontal="center" vertical="center" wrapText="1"/>
    </xf>
    <xf numFmtId="3" fontId="10" fillId="0" borderId="0" xfId="2" applyNumberFormat="1" applyFont="1" applyAlignment="1">
      <alignment horizontal="center" vertical="center" wrapText="1"/>
    </xf>
  </cellXfs>
  <cellStyles count="32">
    <cellStyle name="60% — akcent 4" xfId="1" builtinId="44"/>
    <cellStyle name="blue" xfId="3" xr:uid="{00000000-0005-0000-0000-000002000000}"/>
    <cellStyle name="BlueTitle" xfId="4" xr:uid="{00000000-0005-0000-0000-000003000000}"/>
    <cellStyle name="Comma 2" xfId="5" xr:uid="{00000000-0005-0000-0000-000004000000}"/>
    <cellStyle name="Currency Round to thousands" xfId="6" xr:uid="{00000000-0005-0000-0000-000005000000}"/>
    <cellStyle name="Czarny" xfId="7" xr:uid="{00000000-0005-0000-0000-000006000000}"/>
    <cellStyle name="Dziesiętny 2" xfId="8" xr:uid="{00000000-0005-0000-0000-000007000000}"/>
    <cellStyle name="Excel - Etykieta" xfId="9" xr:uid="{00000000-0005-0000-0000-000008000000}"/>
    <cellStyle name="Excel - Etykiety light" xfId="10" xr:uid="{00000000-0005-0000-0000-000009000000}"/>
    <cellStyle name="Excel - Formuła" xfId="11" xr:uid="{00000000-0005-0000-0000-00000A000000}"/>
    <cellStyle name="Excel - green" xfId="12" xr:uid="{00000000-0005-0000-0000-00000B000000}"/>
    <cellStyle name="Excel - lightblue" xfId="13" xr:uid="{00000000-0005-0000-0000-00000C000000}"/>
    <cellStyle name="Excel - orange" xfId="14" xr:uid="{00000000-0005-0000-0000-00000D000000}"/>
    <cellStyle name="Excel - purple" xfId="15" xr:uid="{00000000-0005-0000-0000-00000E000000}"/>
    <cellStyle name="Excel - red" xfId="16" xr:uid="{00000000-0005-0000-0000-00000F000000}"/>
    <cellStyle name="Excel - yellow" xfId="17" xr:uid="{00000000-0005-0000-0000-000010000000}"/>
    <cellStyle name="Formuła" xfId="18" xr:uid="{00000000-0005-0000-0000-000011000000}"/>
    <cellStyle name="Formuła 2" xfId="19" xr:uid="{00000000-0005-0000-0000-000012000000}"/>
    <cellStyle name="Formuła 3" xfId="20" xr:uid="{00000000-0005-0000-0000-000013000000}"/>
    <cellStyle name="Formuła 4" xfId="21" xr:uid="{00000000-0005-0000-0000-000014000000}"/>
    <cellStyle name="Four-Digit Year" xfId="22" xr:uid="{00000000-0005-0000-0000-000015000000}"/>
    <cellStyle name="Hiperłącze" xfId="31" builtinId="8"/>
    <cellStyle name="Hiperłącze 2" xfId="23" xr:uid="{00000000-0005-0000-0000-000017000000}"/>
    <cellStyle name="Informacja" xfId="24" xr:uid="{00000000-0005-0000-0000-000018000000}"/>
    <cellStyle name="Nagłówek" xfId="25" xr:uid="{00000000-0005-0000-0000-000019000000}"/>
    <cellStyle name="Normal 2" xfId="26" xr:uid="{00000000-0005-0000-0000-00001A000000}"/>
    <cellStyle name="Normalny" xfId="0" builtinId="0"/>
    <cellStyle name="Normalny 2" xfId="2" xr:uid="{00000000-0005-0000-0000-00001C000000}"/>
    <cellStyle name="Normalny 3" xfId="27" xr:uid="{00000000-0005-0000-0000-00001D000000}"/>
    <cellStyle name="Styl 1" xfId="28" xr:uid="{00000000-0005-0000-0000-00001E000000}"/>
    <cellStyle name="Wrap Text" xfId="29" xr:uid="{00000000-0005-0000-0000-00001F000000}"/>
    <cellStyle name="ziel" xfId="30" xr:uid="{00000000-0005-0000-0000-000020000000}"/>
  </cellStyles>
  <dxfs count="0"/>
  <tableStyles count="0" defaultTableStyle="TableStyleMedium2" defaultPivotStyle="PivotStyleLight16"/>
  <colors>
    <mruColors>
      <color rgb="FFCFF1D6"/>
      <color rgb="FF2EA3F2"/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1E73BE"/>
  </sheetPr>
  <dimension ref="A2:L21"/>
  <sheetViews>
    <sheetView tabSelected="1" zoomScale="115" zoomScaleNormal="115" workbookViewId="0">
      <selection activeCell="A11" sqref="A11"/>
    </sheetView>
  </sheetViews>
  <sheetFormatPr defaultColWidth="9.109375" defaultRowHeight="14.4"/>
  <cols>
    <col min="1" max="1" width="24.88671875" style="1" customWidth="1"/>
    <col min="2" max="4" width="9.109375" style="1"/>
    <col min="5" max="5" width="3.5546875" style="1" customWidth="1"/>
    <col min="6" max="16384" width="9.109375" style="1"/>
  </cols>
  <sheetData>
    <row r="2" spans="1:12">
      <c r="A2" s="2"/>
      <c r="B2" s="12" t="s">
        <v>5</v>
      </c>
      <c r="C2" s="12" t="s">
        <v>6</v>
      </c>
      <c r="D2" s="12" t="s">
        <v>7</v>
      </c>
      <c r="F2" s="13" t="str">
        <f>CHAR(17)&amp;" Nagłówki kolumn to  'Kategorie' i będą wyświetlane w poziomie "</f>
        <v xml:space="preserve">_x0011_ Nagłówki kolumn to  'Kategorie' i będą wyświetlane w poziomie </v>
      </c>
      <c r="G2" s="14"/>
      <c r="H2" s="14"/>
      <c r="I2" s="14"/>
      <c r="J2" s="14"/>
      <c r="K2" s="14"/>
      <c r="L2" s="15"/>
    </row>
    <row r="3" spans="1:12">
      <c r="A3" s="12" t="s">
        <v>1</v>
      </c>
      <c r="B3" s="4">
        <v>61</v>
      </c>
      <c r="C3" s="4">
        <v>35.5</v>
      </c>
      <c r="D3" s="4">
        <v>39</v>
      </c>
      <c r="F3" s="16" t="str">
        <f>CHAR(17)&amp;" Wartości  "&amp;FIXED(B3,2)&amp;", "&amp;FIXED(C3,2)&amp;", "&amp;FIXED(D3,2)&amp;" to 'Seria "&amp;A3&amp;"'."</f>
        <v>_x0011_ Wartości  61,00, 35,50, 39,00 to 'Seria Gąbki'.</v>
      </c>
      <c r="G3" s="17"/>
      <c r="H3" s="17"/>
      <c r="I3" s="17"/>
      <c r="J3" s="17"/>
      <c r="K3" s="17"/>
      <c r="L3" s="18"/>
    </row>
    <row r="4" spans="1:12">
      <c r="A4" s="12" t="s">
        <v>2</v>
      </c>
      <c r="B4" s="4">
        <v>72.849999999999994</v>
      </c>
      <c r="C4" s="4">
        <v>55.5</v>
      </c>
      <c r="D4" s="4">
        <v>52.35</v>
      </c>
      <c r="F4" s="16" t="str">
        <f t="shared" ref="F4:F5" si="0">CHAR(17)&amp;" Wartości  "&amp;FIXED(B4,2)&amp;", "&amp;FIXED(C4,2)&amp;", "&amp;FIXED(D4,2)&amp;" to 'Seria "&amp;A4&amp;"'."</f>
        <v>_x0011_ Wartości  72,85, 55,50, 52,35 to 'Seria Muszelki'.</v>
      </c>
      <c r="G4" s="17"/>
      <c r="H4" s="17"/>
      <c r="I4" s="17"/>
      <c r="J4" s="17"/>
      <c r="K4" s="17"/>
      <c r="L4" s="18"/>
    </row>
    <row r="5" spans="1:12">
      <c r="A5" s="12" t="s">
        <v>3</v>
      </c>
      <c r="B5" s="4">
        <v>17.8</v>
      </c>
      <c r="C5" s="4">
        <v>18.399999999999999</v>
      </c>
      <c r="D5" s="4">
        <v>14.100000000000001</v>
      </c>
      <c r="F5" s="19" t="str">
        <f t="shared" si="0"/>
        <v>_x0011_ Wartości  17,80, 18,40, 14,10 to 'Seria Piasek'.</v>
      </c>
      <c r="G5" s="20"/>
      <c r="H5" s="20"/>
      <c r="I5" s="20"/>
      <c r="J5" s="20"/>
      <c r="K5" s="20"/>
      <c r="L5" s="21"/>
    </row>
    <row r="7" spans="1:12" ht="43.2">
      <c r="A7" s="22" t="s">
        <v>9</v>
      </c>
    </row>
    <row r="17" spans="1:12">
      <c r="A17" s="2"/>
      <c r="B17" s="12" t="s">
        <v>5</v>
      </c>
      <c r="C17" s="12" t="s">
        <v>6</v>
      </c>
      <c r="D17" s="12" t="s">
        <v>7</v>
      </c>
      <c r="F17" s="13" t="str">
        <f>CHAR(17)&amp;" Jeśli nagłówków kolumn jest mniej niż nagłówków wierszy"</f>
        <v>_x0011_ Jeśli nagłówków kolumn jest mniej niż nagłówków wierszy</v>
      </c>
      <c r="G17" s="14"/>
      <c r="H17" s="14"/>
      <c r="I17" s="14"/>
      <c r="J17" s="14"/>
      <c r="K17" s="14"/>
      <c r="L17" s="15"/>
    </row>
    <row r="18" spans="1:12">
      <c r="A18" s="12" t="s">
        <v>1</v>
      </c>
      <c r="B18" s="4">
        <v>61</v>
      </c>
      <c r="C18" s="4">
        <v>35.5</v>
      </c>
      <c r="D18" s="4">
        <v>39</v>
      </c>
      <c r="F18" s="19" t="s">
        <v>10</v>
      </c>
      <c r="G18" s="20"/>
      <c r="H18" s="20"/>
      <c r="I18" s="20"/>
      <c r="J18" s="20"/>
      <c r="K18" s="20"/>
      <c r="L18" s="21"/>
    </row>
    <row r="19" spans="1:12">
      <c r="A19" s="12" t="s">
        <v>2</v>
      </c>
      <c r="B19" s="4">
        <v>72.849999999999994</v>
      </c>
      <c r="C19" s="4">
        <v>55.5</v>
      </c>
      <c r="D19" s="4">
        <v>52.35</v>
      </c>
    </row>
    <row r="20" spans="1:12">
      <c r="A20" s="12" t="s">
        <v>3</v>
      </c>
      <c r="B20" s="4">
        <v>17.8</v>
      </c>
      <c r="C20" s="4">
        <v>18.399999999999999</v>
      </c>
      <c r="D20" s="4">
        <v>14.100000000000001</v>
      </c>
    </row>
    <row r="21" spans="1:12">
      <c r="A21" s="12" t="s">
        <v>11</v>
      </c>
      <c r="B21" s="4">
        <v>22.5</v>
      </c>
      <c r="C21" s="4">
        <v>31.2</v>
      </c>
      <c r="D21" s="4">
        <v>28.4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tabColor rgb="FF1E73BE"/>
  </sheetPr>
  <dimension ref="A1:E6"/>
  <sheetViews>
    <sheetView zoomScale="115" zoomScaleNormal="115" workbookViewId="0">
      <selection activeCell="I4" sqref="I4"/>
    </sheetView>
  </sheetViews>
  <sheetFormatPr defaultColWidth="9.109375" defaultRowHeight="14.4"/>
  <cols>
    <col min="1" max="1" width="10.44140625" style="1" customWidth="1"/>
    <col min="2" max="5" width="10.6640625" style="1" bestFit="1" customWidth="1"/>
    <col min="6" max="6" width="4" style="1" customWidth="1"/>
    <col min="7" max="16384" width="9.109375" style="1"/>
  </cols>
  <sheetData>
    <row r="1" spans="1:5" ht="18">
      <c r="A1" s="3" t="s">
        <v>28</v>
      </c>
      <c r="B1" s="3"/>
      <c r="C1" s="3"/>
      <c r="D1" s="3"/>
      <c r="E1" s="3"/>
    </row>
    <row r="2" spans="1:5">
      <c r="A2" s="12" t="s">
        <v>4</v>
      </c>
      <c r="B2" s="12" t="s">
        <v>5</v>
      </c>
      <c r="C2" s="12" t="s">
        <v>6</v>
      </c>
      <c r="D2" s="12" t="s">
        <v>7</v>
      </c>
      <c r="E2" s="12" t="s">
        <v>8</v>
      </c>
    </row>
    <row r="3" spans="1:5">
      <c r="A3" s="12" t="s">
        <v>27</v>
      </c>
      <c r="B3" s="4">
        <v>854</v>
      </c>
      <c r="C3" s="4">
        <v>697</v>
      </c>
      <c r="D3" s="4">
        <v>746</v>
      </c>
      <c r="E3" s="11">
        <f>SUM(B3:D3)</f>
        <v>2297</v>
      </c>
    </row>
    <row r="4" spans="1:5">
      <c r="A4" s="12" t="s">
        <v>25</v>
      </c>
      <c r="B4" s="4">
        <v>919.9</v>
      </c>
      <c r="C4" s="4">
        <v>877</v>
      </c>
      <c r="D4" s="4">
        <v>832.9</v>
      </c>
      <c r="E4" s="11">
        <f>(SUM(B4:D4))</f>
        <v>2629.8</v>
      </c>
    </row>
    <row r="5" spans="1:5">
      <c r="A5" s="12" t="s">
        <v>26</v>
      </c>
      <c r="B5" s="4">
        <v>749.2</v>
      </c>
      <c r="C5" s="4">
        <v>757.59999999999991</v>
      </c>
      <c r="D5" s="4">
        <v>697.40000000000009</v>
      </c>
      <c r="E5" s="11">
        <f>SUM(B5:D5)</f>
        <v>2204.1999999999998</v>
      </c>
    </row>
    <row r="6" spans="1:5">
      <c r="A6" s="12" t="s">
        <v>8</v>
      </c>
      <c r="B6" s="11">
        <f>SUM(B3:B5)</f>
        <v>2523.1000000000004</v>
      </c>
      <c r="C6" s="11">
        <f>SUM(C3:C5)</f>
        <v>2331.6</v>
      </c>
      <c r="D6" s="11">
        <f>SUM(D3:D5)</f>
        <v>2276.3000000000002</v>
      </c>
      <c r="E6" s="11">
        <f>SUM(B6:D6)</f>
        <v>7131.0000000000009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tabColor rgb="FF1E73BE"/>
  </sheetPr>
  <dimension ref="A1:B18"/>
  <sheetViews>
    <sheetView zoomScale="115" zoomScaleNormal="115" workbookViewId="0">
      <selection activeCell="A13" sqref="A13:B18"/>
    </sheetView>
  </sheetViews>
  <sheetFormatPr defaultColWidth="9.109375" defaultRowHeight="14.4"/>
  <cols>
    <col min="1" max="1" width="14" style="1" bestFit="1" customWidth="1"/>
    <col min="2" max="2" width="14.88671875" style="1" bestFit="1" customWidth="1"/>
    <col min="3" max="16384" width="9.109375" style="1"/>
  </cols>
  <sheetData>
    <row r="1" spans="1:2">
      <c r="A1" s="12" t="s">
        <v>12</v>
      </c>
      <c r="B1" s="12" t="s">
        <v>13</v>
      </c>
    </row>
    <row r="2" spans="1:2">
      <c r="A2" s="5" t="s">
        <v>14</v>
      </c>
      <c r="B2" s="6">
        <v>2171857</v>
      </c>
    </row>
    <row r="3" spans="1:2">
      <c r="A3" s="5" t="s">
        <v>15</v>
      </c>
      <c r="B3" s="6">
        <v>1023158</v>
      </c>
    </row>
    <row r="4" spans="1:2">
      <c r="A4" s="5" t="s">
        <v>16</v>
      </c>
      <c r="B4" s="6">
        <v>2533681</v>
      </c>
    </row>
    <row r="5" spans="1:2">
      <c r="A5" s="5" t="s">
        <v>17</v>
      </c>
      <c r="B5" s="6">
        <v>3346796</v>
      </c>
    </row>
    <row r="6" spans="1:2">
      <c r="A6" s="23"/>
      <c r="B6" s="24"/>
    </row>
    <row r="7" spans="1:2">
      <c r="A7" s="23"/>
      <c r="B7" s="24"/>
    </row>
    <row r="8" spans="1:2">
      <c r="A8" s="23"/>
      <c r="B8" s="24"/>
    </row>
    <row r="9" spans="1:2">
      <c r="A9" s="23"/>
      <c r="B9" s="24"/>
    </row>
    <row r="10" spans="1:2">
      <c r="A10" s="23"/>
      <c r="B10" s="24"/>
    </row>
    <row r="11" spans="1:2">
      <c r="A11" s="23"/>
      <c r="B11" s="24"/>
    </row>
    <row r="13" spans="1:2">
      <c r="A13" s="12" t="s">
        <v>12</v>
      </c>
      <c r="B13" s="12" t="s">
        <v>13</v>
      </c>
    </row>
    <row r="14" spans="1:2">
      <c r="A14" s="5" t="s">
        <v>29</v>
      </c>
      <c r="B14" s="6">
        <v>5285604</v>
      </c>
    </row>
    <row r="15" spans="1:2">
      <c r="A15" s="5" t="s">
        <v>30</v>
      </c>
      <c r="B15" s="6">
        <v>1013950</v>
      </c>
    </row>
    <row r="16" spans="1:2">
      <c r="A16" s="5" t="s">
        <v>31</v>
      </c>
      <c r="B16" s="6">
        <v>2128687</v>
      </c>
    </row>
    <row r="17" spans="1:2">
      <c r="A17" s="5" t="s">
        <v>32</v>
      </c>
      <c r="B17" s="6">
        <v>1200982</v>
      </c>
    </row>
    <row r="18" spans="1:2">
      <c r="A18" s="5" t="s">
        <v>33</v>
      </c>
      <c r="B18" s="6">
        <v>2302077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9">
    <tabColor rgb="FF1E73BE"/>
  </sheetPr>
  <dimension ref="A1:B11"/>
  <sheetViews>
    <sheetView zoomScale="115" zoomScaleNormal="115" workbookViewId="0">
      <selection activeCell="B1" sqref="B1"/>
    </sheetView>
  </sheetViews>
  <sheetFormatPr defaultColWidth="9.109375" defaultRowHeight="14.4"/>
  <cols>
    <col min="1" max="1" width="14" style="1" bestFit="1" customWidth="1"/>
    <col min="2" max="2" width="14.88671875" style="1" bestFit="1" customWidth="1"/>
    <col min="3" max="16384" width="9.109375" style="1"/>
  </cols>
  <sheetData>
    <row r="1" spans="1:2">
      <c r="A1" s="12" t="s">
        <v>4</v>
      </c>
      <c r="B1" s="12" t="s">
        <v>18</v>
      </c>
    </row>
    <row r="2" spans="1:2">
      <c r="A2" s="2" t="s">
        <v>19</v>
      </c>
      <c r="B2" s="4">
        <v>2140</v>
      </c>
    </row>
    <row r="3" spans="1:2">
      <c r="A3" s="2" t="s">
        <v>20</v>
      </c>
      <c r="B3" s="4">
        <v>1670</v>
      </c>
    </row>
    <row r="4" spans="1:2">
      <c r="A4" s="2" t="s">
        <v>21</v>
      </c>
      <c r="B4" s="4">
        <v>1180</v>
      </c>
    </row>
    <row r="5" spans="1:2">
      <c r="A5" s="2" t="s">
        <v>22</v>
      </c>
      <c r="B5" s="4">
        <v>658</v>
      </c>
    </row>
    <row r="6" spans="1:2">
      <c r="A6" s="2" t="s">
        <v>23</v>
      </c>
      <c r="B6" s="4">
        <v>657</v>
      </c>
    </row>
    <row r="7" spans="1:2">
      <c r="A7" s="2" t="s">
        <v>1</v>
      </c>
      <c r="B7" s="4">
        <v>146.5</v>
      </c>
    </row>
    <row r="8" spans="1:2">
      <c r="A8" s="2" t="s">
        <v>24</v>
      </c>
      <c r="B8" s="4">
        <v>100.19999999999996</v>
      </c>
    </row>
    <row r="9" spans="1:2" ht="15" thickBot="1">
      <c r="A9" s="7" t="s">
        <v>3</v>
      </c>
      <c r="B9" s="8">
        <v>45.099999999999994</v>
      </c>
    </row>
    <row r="10" spans="1:2" ht="15" thickBot="1">
      <c r="A10" s="9" t="s">
        <v>0</v>
      </c>
      <c r="B10" s="10">
        <f>SUM(B2:B9)</f>
        <v>6596.8</v>
      </c>
    </row>
    <row r="11" spans="1:2" ht="15" thickTop="1"/>
  </sheetData>
  <sortState xmlns:xlrd2="http://schemas.microsoft.com/office/spreadsheetml/2017/richdata2" ref="A2:B9">
    <sortCondition descending="1" ref="B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Podstawy</vt:lpstr>
      <vt:lpstr>KolumnowySłupkowy</vt:lpstr>
      <vt:lpstr>Kołowy</vt:lpstr>
      <vt:lpstr>DrugieKoło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2016-06-16T10:10:14Z</dcterms:created>
  <dcterms:modified xsi:type="dcterms:W3CDTF">2026-02-20T11:27:21Z</dcterms:modified>
</cp:coreProperties>
</file>